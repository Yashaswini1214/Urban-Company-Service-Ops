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-Category Data" sheetId="1" state="visible" r:id="rId1"/>
    <sheet name="Category Reference" sheetId="2" state="visible" r:id="rId2"/>
    <sheet name="Pivot Table" sheetId="3" state="visible" r:id="rId3"/>
    <sheet name="KPI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>
      <c r="A1" s="1" t="inlineStr">
        <is>
          <t>city</t>
        </is>
      </c>
      <c r="B1" s="1" t="inlineStr">
        <is>
          <t>category</t>
        </is>
      </c>
      <c r="C1" s="1" t="inlineStr">
        <is>
          <t>bookings_count</t>
        </is>
      </c>
      <c r="D1" s="1" t="inlineStr">
        <is>
          <t>revenue_inr</t>
        </is>
      </c>
      <c r="E1" s="1" t="inlineStr">
        <is>
          <t>sla_breaches</t>
        </is>
      </c>
      <c r="F1" s="1" t="inlineStr">
        <is>
          <t>min_price_inr</t>
        </is>
      </c>
      <c r="G1" s="1" t="inlineStr">
        <is>
          <t>max_price_inr</t>
        </is>
      </c>
    </row>
    <row r="2">
      <c r="A2" s="2" t="inlineStr">
        <is>
          <t>Bengaluru</t>
        </is>
      </c>
      <c r="B2" s="2" t="inlineStr">
        <is>
          <t>AC Repair &amp; Service</t>
        </is>
      </c>
      <c r="C2" s="2" t="inlineStr">
        <is>
          <t>40</t>
        </is>
      </c>
      <c r="D2" s="2" t="inlineStr">
        <is>
          <t>61229</t>
        </is>
      </c>
      <c r="E2" s="2" t="inlineStr">
        <is>
          <t>7</t>
        </is>
      </c>
      <c r="F2" s="2">
        <f>VLOOKUP(B2,'Category Reference'!$A$2:$C$7,2,FALSE)</f>
        <v/>
      </c>
      <c r="G2" s="2">
        <f>VLOOKUP(B2,'Category Reference'!$A$2:$C$7,3,FALSE)</f>
        <v/>
      </c>
    </row>
    <row r="3">
      <c r="A3" s="2" t="inlineStr">
        <is>
          <t>Bengaluru</t>
        </is>
      </c>
      <c r="B3" s="2" t="inlineStr">
        <is>
          <t>Deep Home Cleaning</t>
        </is>
      </c>
      <c r="C3" s="2" t="inlineStr">
        <is>
          <t>18</t>
        </is>
      </c>
      <c r="D3" s="2" t="inlineStr">
        <is>
          <t>49592</t>
        </is>
      </c>
      <c r="E3" s="2" t="inlineStr">
        <is>
          <t>2</t>
        </is>
      </c>
      <c r="F3" s="2">
        <f>VLOOKUP(B3,'Category Reference'!$A$2:$C$7,2,FALSE)</f>
        <v/>
      </c>
      <c r="G3" s="2">
        <f>VLOOKUP(B3,'Category Reference'!$A$2:$C$7,3,FALSE)</f>
        <v/>
      </c>
    </row>
    <row r="4">
      <c r="A4" s="2" t="inlineStr">
        <is>
          <t>Bengaluru</t>
        </is>
      </c>
      <c r="B4" s="2" t="inlineStr">
        <is>
          <t>Electrical Repair</t>
        </is>
      </c>
      <c r="C4" s="2" t="inlineStr">
        <is>
          <t>19</t>
        </is>
      </c>
      <c r="D4" s="2" t="inlineStr">
        <is>
          <t>23082</t>
        </is>
      </c>
      <c r="E4" s="2" t="inlineStr">
        <is>
          <t>3</t>
        </is>
      </c>
      <c r="F4" s="2">
        <f>VLOOKUP(B4,'Category Reference'!$A$2:$C$7,2,FALSE)</f>
        <v/>
      </c>
      <c r="G4" s="2">
        <f>VLOOKUP(B4,'Category Reference'!$A$2:$C$7,3,FALSE)</f>
        <v/>
      </c>
    </row>
    <row r="5">
      <c r="A5" s="2" t="inlineStr">
        <is>
          <t>Bengaluru</t>
        </is>
      </c>
      <c r="B5" s="2" t="inlineStr">
        <is>
          <t>Salon for Men</t>
        </is>
      </c>
      <c r="C5" s="2" t="inlineStr">
        <is>
          <t>14</t>
        </is>
      </c>
      <c r="D5" s="2" t="inlineStr">
        <is>
          <t>13565</t>
        </is>
      </c>
      <c r="E5" s="2" t="inlineStr">
        <is>
          <t>3</t>
        </is>
      </c>
      <c r="F5" s="2">
        <f>VLOOKUP(B5,'Category Reference'!$A$2:$C$7,2,FALSE)</f>
        <v/>
      </c>
      <c r="G5" s="2">
        <f>VLOOKUP(B5,'Category Reference'!$A$2:$C$7,3,FALSE)</f>
        <v/>
      </c>
    </row>
    <row r="6">
      <c r="A6" s="2" t="inlineStr">
        <is>
          <t>Bengaluru</t>
        </is>
      </c>
      <c r="B6" s="2" t="inlineStr">
        <is>
          <t>Salon for Women</t>
        </is>
      </c>
      <c r="C6" s="2" t="inlineStr">
        <is>
          <t>16</t>
        </is>
      </c>
      <c r="D6" s="2" t="inlineStr">
        <is>
          <t>32367</t>
        </is>
      </c>
      <c r="E6" s="2" t="inlineStr">
        <is>
          <t>2</t>
        </is>
      </c>
      <c r="F6" s="2">
        <f>VLOOKUP(B6,'Category Reference'!$A$2:$C$7,2,FALSE)</f>
        <v/>
      </c>
      <c r="G6" s="2">
        <f>VLOOKUP(B6,'Category Reference'!$A$2:$C$7,3,FALSE)</f>
        <v/>
      </c>
    </row>
    <row r="7">
      <c r="A7" s="2" t="inlineStr">
        <is>
          <t>Chennai</t>
        </is>
      </c>
      <c r="B7" s="2" t="inlineStr">
        <is>
          <t>Deep Home Cleaning</t>
        </is>
      </c>
      <c r="C7" s="2" t="inlineStr">
        <is>
          <t>37</t>
        </is>
      </c>
      <c r="D7" s="2" t="inlineStr">
        <is>
          <t>109499</t>
        </is>
      </c>
      <c r="E7" s="2" t="inlineStr">
        <is>
          <t>5</t>
        </is>
      </c>
      <c r="F7" s="2">
        <f>VLOOKUP(B7,'Category Reference'!$A$2:$C$7,2,FALSE)</f>
        <v/>
      </c>
      <c r="G7" s="2">
        <f>VLOOKUP(B7,'Category Reference'!$A$2:$C$7,3,FALSE)</f>
        <v/>
      </c>
    </row>
    <row r="8">
      <c r="A8" s="2" t="inlineStr">
        <is>
          <t>Chennai</t>
        </is>
      </c>
      <c r="B8" s="2" t="inlineStr">
        <is>
          <t>Electrical Repair</t>
        </is>
      </c>
      <c r="C8" s="2" t="inlineStr">
        <is>
          <t>13</t>
        </is>
      </c>
      <c r="D8" s="2" t="inlineStr">
        <is>
          <t>13044</t>
        </is>
      </c>
      <c r="E8" s="2" t="inlineStr">
        <is>
          <t>1</t>
        </is>
      </c>
      <c r="F8" s="2">
        <f>VLOOKUP(B8,'Category Reference'!$A$2:$C$7,2,FALSE)</f>
        <v/>
      </c>
      <c r="G8" s="2">
        <f>VLOOKUP(B8,'Category Reference'!$A$2:$C$7,3,FALSE)</f>
        <v/>
      </c>
    </row>
    <row r="9">
      <c r="A9" s="2" t="inlineStr">
        <is>
          <t>Chennai</t>
        </is>
      </c>
      <c r="B9" s="2" t="inlineStr">
        <is>
          <t>Plumbing</t>
        </is>
      </c>
      <c r="C9" s="2" t="inlineStr">
        <is>
          <t>63</t>
        </is>
      </c>
      <c r="D9" s="2" t="inlineStr">
        <is>
          <t>53029</t>
        </is>
      </c>
      <c r="E9" s="2" t="inlineStr">
        <is>
          <t>9</t>
        </is>
      </c>
      <c r="F9" s="2">
        <f>VLOOKUP(B9,'Category Reference'!$A$2:$C$7,2,FALSE)</f>
        <v/>
      </c>
      <c r="G9" s="2">
        <f>VLOOKUP(B9,'Category Reference'!$A$2:$C$7,3,FALSE)</f>
        <v/>
      </c>
    </row>
    <row r="10">
      <c r="A10" s="2" t="inlineStr">
        <is>
          <t>Delhi NCR</t>
        </is>
      </c>
      <c r="B10" s="2" t="inlineStr">
        <is>
          <t>AC Repair &amp; Service</t>
        </is>
      </c>
      <c r="C10" s="2" t="inlineStr">
        <is>
          <t>14</t>
        </is>
      </c>
      <c r="D10" s="2" t="inlineStr">
        <is>
          <t>22760</t>
        </is>
      </c>
      <c r="E10" s="2" t="inlineStr">
        <is>
          <t>0</t>
        </is>
      </c>
      <c r="F10" s="2">
        <f>VLOOKUP(B10,'Category Reference'!$A$2:$C$7,2,FALSE)</f>
        <v/>
      </c>
      <c r="G10" s="2">
        <f>VLOOKUP(B10,'Category Reference'!$A$2:$C$7,3,FALSE)</f>
        <v/>
      </c>
    </row>
    <row r="11">
      <c r="A11" s="2" t="inlineStr">
        <is>
          <t>Delhi NCR</t>
        </is>
      </c>
      <c r="B11" s="2" t="inlineStr">
        <is>
          <t>Deep Home Cleaning</t>
        </is>
      </c>
      <c r="C11" s="2" t="inlineStr">
        <is>
          <t>25</t>
        </is>
      </c>
      <c r="D11" s="2" t="inlineStr">
        <is>
          <t>63041</t>
        </is>
      </c>
      <c r="E11" s="2" t="inlineStr">
        <is>
          <t>0</t>
        </is>
      </c>
      <c r="F11" s="2">
        <f>VLOOKUP(B11,'Category Reference'!$A$2:$C$7,2,FALSE)</f>
        <v/>
      </c>
      <c r="G11" s="2">
        <f>VLOOKUP(B11,'Category Reference'!$A$2:$C$7,3,FALSE)</f>
        <v/>
      </c>
    </row>
    <row r="12">
      <c r="A12" s="2" t="inlineStr">
        <is>
          <t>Delhi NCR</t>
        </is>
      </c>
      <c r="B12" s="2" t="inlineStr">
        <is>
          <t>Electrical Repair</t>
        </is>
      </c>
      <c r="C12" s="2" t="inlineStr">
        <is>
          <t>12</t>
        </is>
      </c>
      <c r="D12" s="2" t="inlineStr">
        <is>
          <t>12585</t>
        </is>
      </c>
      <c r="E12" s="2" t="inlineStr">
        <is>
          <t>1</t>
        </is>
      </c>
      <c r="F12" s="2">
        <f>VLOOKUP(B12,'Category Reference'!$A$2:$C$7,2,FALSE)</f>
        <v/>
      </c>
      <c r="G12" s="2">
        <f>VLOOKUP(B12,'Category Reference'!$A$2:$C$7,3,FALSE)</f>
        <v/>
      </c>
    </row>
    <row r="13">
      <c r="A13" s="2" t="inlineStr">
        <is>
          <t>Delhi NCR</t>
        </is>
      </c>
      <c r="B13" s="2" t="inlineStr">
        <is>
          <t>Plumbing</t>
        </is>
      </c>
      <c r="C13" s="2" t="inlineStr">
        <is>
          <t>19</t>
        </is>
      </c>
      <c r="D13" s="2" t="inlineStr">
        <is>
          <t>16065</t>
        </is>
      </c>
      <c r="E13" s="2" t="inlineStr">
        <is>
          <t>3</t>
        </is>
      </c>
      <c r="F13" s="2">
        <f>VLOOKUP(B13,'Category Reference'!$A$2:$C$7,2,FALSE)</f>
        <v/>
      </c>
      <c r="G13" s="2">
        <f>VLOOKUP(B13,'Category Reference'!$A$2:$C$7,3,FALSE)</f>
        <v/>
      </c>
    </row>
    <row r="14">
      <c r="A14" s="2" t="inlineStr">
        <is>
          <t>Delhi NCR</t>
        </is>
      </c>
      <c r="B14" s="2" t="inlineStr">
        <is>
          <t>Salon for Women</t>
        </is>
      </c>
      <c r="C14" s="2" t="inlineStr">
        <is>
          <t>13</t>
        </is>
      </c>
      <c r="D14" s="2" t="inlineStr">
        <is>
          <t>26320</t>
        </is>
      </c>
      <c r="E14" s="2" t="inlineStr">
        <is>
          <t>2</t>
        </is>
      </c>
      <c r="F14" s="2">
        <f>VLOOKUP(B14,'Category Reference'!$A$2:$C$7,2,FALSE)</f>
        <v/>
      </c>
      <c r="G14" s="2">
        <f>VLOOKUP(B14,'Category Reference'!$A$2:$C$7,3,FALSE)</f>
        <v/>
      </c>
    </row>
    <row r="15">
      <c r="A15" s="2" t="inlineStr">
        <is>
          <t>Hyderabad</t>
        </is>
      </c>
      <c r="B15" s="2" t="inlineStr">
        <is>
          <t>Deep Home Cleaning</t>
        </is>
      </c>
      <c r="C15" s="2" t="inlineStr">
        <is>
          <t>29</t>
        </is>
      </c>
      <c r="D15" s="2" t="inlineStr">
        <is>
          <t>91425</t>
        </is>
      </c>
      <c r="E15" s="2" t="inlineStr">
        <is>
          <t>4</t>
        </is>
      </c>
      <c r="F15" s="2">
        <f>VLOOKUP(B15,'Category Reference'!$A$2:$C$7,2,FALSE)</f>
        <v/>
      </c>
      <c r="G15" s="2">
        <f>VLOOKUP(B15,'Category Reference'!$A$2:$C$7,3,FALSE)</f>
        <v/>
      </c>
    </row>
    <row r="16">
      <c r="A16" s="2" t="inlineStr">
        <is>
          <t>Hyderabad</t>
        </is>
      </c>
      <c r="B16" s="2" t="inlineStr">
        <is>
          <t>Electrical Repair</t>
        </is>
      </c>
      <c r="C16" s="2" t="inlineStr">
        <is>
          <t>27</t>
        </is>
      </c>
      <c r="D16" s="2" t="inlineStr">
        <is>
          <t>29032</t>
        </is>
      </c>
      <c r="E16" s="2" t="inlineStr">
        <is>
          <t>3</t>
        </is>
      </c>
      <c r="F16" s="2">
        <f>VLOOKUP(B16,'Category Reference'!$A$2:$C$7,2,FALSE)</f>
        <v/>
      </c>
      <c r="G16" s="2">
        <f>VLOOKUP(B16,'Category Reference'!$A$2:$C$7,3,FALSE)</f>
        <v/>
      </c>
    </row>
    <row r="17">
      <c r="A17" s="2" t="inlineStr">
        <is>
          <t>Hyderabad</t>
        </is>
      </c>
      <c r="B17" s="2" t="inlineStr">
        <is>
          <t>Plumbing</t>
        </is>
      </c>
      <c r="C17" s="2" t="inlineStr">
        <is>
          <t>13</t>
        </is>
      </c>
      <c r="D17" s="2" t="inlineStr">
        <is>
          <t>11743</t>
        </is>
      </c>
      <c r="E17" s="2" t="inlineStr">
        <is>
          <t>1</t>
        </is>
      </c>
      <c r="F17" s="2">
        <f>VLOOKUP(B17,'Category Reference'!$A$2:$C$7,2,FALSE)</f>
        <v/>
      </c>
      <c r="G17" s="2">
        <f>VLOOKUP(B17,'Category Reference'!$A$2:$C$7,3,FALSE)</f>
        <v/>
      </c>
    </row>
    <row r="18">
      <c r="A18" s="2" t="inlineStr">
        <is>
          <t>Hyderabad</t>
        </is>
      </c>
      <c r="B18" s="2" t="inlineStr">
        <is>
          <t>Salon for Men</t>
        </is>
      </c>
      <c r="C18" s="2" t="inlineStr">
        <is>
          <t>23</t>
        </is>
      </c>
      <c r="D18" s="2" t="inlineStr">
        <is>
          <t>22289</t>
        </is>
      </c>
      <c r="E18" s="2" t="inlineStr">
        <is>
          <t>5</t>
        </is>
      </c>
      <c r="F18" s="2">
        <f>VLOOKUP(B18,'Category Reference'!$A$2:$C$7,2,FALSE)</f>
        <v/>
      </c>
      <c r="G18" s="2">
        <f>VLOOKUP(B18,'Category Reference'!$A$2:$C$7,3,FALSE)</f>
        <v/>
      </c>
    </row>
    <row r="19">
      <c r="A19" s="2" t="inlineStr">
        <is>
          <t>Hyderabad</t>
        </is>
      </c>
      <c r="B19" s="2" t="inlineStr">
        <is>
          <t>Salon for Women</t>
        </is>
      </c>
      <c r="C19" s="2" t="inlineStr">
        <is>
          <t>6</t>
        </is>
      </c>
      <c r="D19" s="2" t="inlineStr">
        <is>
          <t>17149</t>
        </is>
      </c>
      <c r="E19" s="2" t="inlineStr">
        <is>
          <t>1</t>
        </is>
      </c>
      <c r="F19" s="2">
        <f>VLOOKUP(B19,'Category Reference'!$A$2:$C$7,2,FALSE)</f>
        <v/>
      </c>
      <c r="G19" s="2">
        <f>VLOOKUP(B19,'Category Reference'!$A$2:$C$7,3,FALSE)</f>
        <v/>
      </c>
    </row>
    <row r="20">
      <c r="A20" s="2" t="inlineStr">
        <is>
          <t>Mumbai</t>
        </is>
      </c>
      <c r="B20" s="2" t="inlineStr">
        <is>
          <t>AC Repair &amp; Service</t>
        </is>
      </c>
      <c r="C20" s="2" t="inlineStr">
        <is>
          <t>20</t>
        </is>
      </c>
      <c r="D20" s="2" t="inlineStr">
        <is>
          <t>29050</t>
        </is>
      </c>
      <c r="E20" s="2" t="inlineStr">
        <is>
          <t>4</t>
        </is>
      </c>
      <c r="F20" s="2">
        <f>VLOOKUP(B20,'Category Reference'!$A$2:$C$7,2,FALSE)</f>
        <v/>
      </c>
      <c r="G20" s="2">
        <f>VLOOKUP(B20,'Category Reference'!$A$2:$C$7,3,FALSE)</f>
        <v/>
      </c>
    </row>
    <row r="21">
      <c r="A21" s="2" t="inlineStr">
        <is>
          <t>Mumbai</t>
        </is>
      </c>
      <c r="B21" s="2" t="inlineStr">
        <is>
          <t>Deep Home Cleaning</t>
        </is>
      </c>
      <c r="C21" s="2" t="inlineStr">
        <is>
          <t>28</t>
        </is>
      </c>
      <c r="D21" s="2" t="inlineStr">
        <is>
          <t>73938</t>
        </is>
      </c>
      <c r="E21" s="2" t="inlineStr">
        <is>
          <t>1</t>
        </is>
      </c>
      <c r="F21" s="2">
        <f>VLOOKUP(B21,'Category Reference'!$A$2:$C$7,2,FALSE)</f>
        <v/>
      </c>
      <c r="G21" s="2">
        <f>VLOOKUP(B21,'Category Reference'!$A$2:$C$7,3,FALSE)</f>
        <v/>
      </c>
    </row>
    <row r="22">
      <c r="A22" s="2" t="inlineStr">
        <is>
          <t>Mumbai</t>
        </is>
      </c>
      <c r="B22" s="2" t="inlineStr">
        <is>
          <t>Electrical Repair</t>
        </is>
      </c>
      <c r="C22" s="2" t="inlineStr">
        <is>
          <t>11</t>
        </is>
      </c>
      <c r="D22" s="2" t="inlineStr">
        <is>
          <t>11360</t>
        </is>
      </c>
      <c r="E22" s="2" t="inlineStr">
        <is>
          <t>2</t>
        </is>
      </c>
      <c r="F22" s="2">
        <f>VLOOKUP(B22,'Category Reference'!$A$2:$C$7,2,FALSE)</f>
        <v/>
      </c>
      <c r="G22" s="2">
        <f>VLOOKUP(B22,'Category Reference'!$A$2:$C$7,3,FALSE)</f>
        <v/>
      </c>
    </row>
    <row r="23">
      <c r="A23" s="2" t="inlineStr">
        <is>
          <t>Mumbai</t>
        </is>
      </c>
      <c r="B23" s="2" t="inlineStr">
        <is>
          <t>Salon for Men</t>
        </is>
      </c>
      <c r="C23" s="2" t="inlineStr">
        <is>
          <t>27</t>
        </is>
      </c>
      <c r="D23" s="2" t="inlineStr">
        <is>
          <t>23901</t>
        </is>
      </c>
      <c r="E23" s="2" t="inlineStr">
        <is>
          <t>5</t>
        </is>
      </c>
      <c r="F23" s="2">
        <f>VLOOKUP(B23,'Category Reference'!$A$2:$C$7,2,FALSE)</f>
        <v/>
      </c>
      <c r="G23" s="2">
        <f>VLOOKUP(B23,'Category Reference'!$A$2:$C$7,3,FALSE)</f>
        <v/>
      </c>
    </row>
    <row r="24">
      <c r="A24" s="2" t="inlineStr">
        <is>
          <t>Mumbai</t>
        </is>
      </c>
      <c r="B24" s="2" t="inlineStr">
        <is>
          <t>Salon for Women</t>
        </is>
      </c>
      <c r="C24" s="2" t="inlineStr">
        <is>
          <t>6</t>
        </is>
      </c>
      <c r="D24" s="2" t="inlineStr">
        <is>
          <t>13181</t>
        </is>
      </c>
      <c r="E24" s="2" t="inlineStr">
        <is>
          <t>1</t>
        </is>
      </c>
      <c r="F24" s="2">
        <f>VLOOKUP(B24,'Category Reference'!$A$2:$C$7,2,FALSE)</f>
        <v/>
      </c>
      <c r="G24" s="2">
        <f>VLOOKUP(B24,'Category Reference'!$A$2:$C$7,3,FALSE)</f>
        <v/>
      </c>
    </row>
    <row r="25">
      <c r="A25" s="2" t="inlineStr">
        <is>
          <t>Pune</t>
        </is>
      </c>
      <c r="B25" s="2" t="inlineStr">
        <is>
          <t>Deep Home Cleaning</t>
        </is>
      </c>
      <c r="C25" s="2" t="inlineStr">
        <is>
          <t>39</t>
        </is>
      </c>
      <c r="D25" s="2" t="inlineStr">
        <is>
          <t>121469</t>
        </is>
      </c>
      <c r="E25" s="2" t="inlineStr">
        <is>
          <t>9</t>
        </is>
      </c>
      <c r="F25" s="2">
        <f>VLOOKUP(B25,'Category Reference'!$A$2:$C$7,2,FALSE)</f>
        <v/>
      </c>
      <c r="G25" s="2">
        <f>VLOOKUP(B25,'Category Reference'!$A$2:$C$7,3,FALSE)</f>
        <v/>
      </c>
    </row>
    <row r="26">
      <c r="A26" s="2" t="inlineStr">
        <is>
          <t>Pune</t>
        </is>
      </c>
      <c r="B26" s="2" t="inlineStr">
        <is>
          <t>Electrical Repair</t>
        </is>
      </c>
      <c r="C26" s="2" t="inlineStr">
        <is>
          <t>30</t>
        </is>
      </c>
      <c r="D26" s="2" t="inlineStr">
        <is>
          <t>30778</t>
        </is>
      </c>
      <c r="E26" s="2" t="inlineStr">
        <is>
          <t>3</t>
        </is>
      </c>
      <c r="F26" s="2">
        <f>VLOOKUP(B26,'Category Reference'!$A$2:$C$7,2,FALSE)</f>
        <v/>
      </c>
      <c r="G26" s="2">
        <f>VLOOKUP(B26,'Category Reference'!$A$2:$C$7,3,FALSE)</f>
        <v/>
      </c>
    </row>
    <row r="27">
      <c r="A27" s="2" t="inlineStr">
        <is>
          <t>Pune</t>
        </is>
      </c>
      <c r="B27" s="2" t="inlineStr">
        <is>
          <t>Salon for Men</t>
        </is>
      </c>
      <c r="C27" s="2" t="inlineStr">
        <is>
          <t>14</t>
        </is>
      </c>
      <c r="D27" s="2" t="inlineStr">
        <is>
          <t>13808</t>
        </is>
      </c>
      <c r="E27" s="2" t="inlineStr">
        <is>
          <t>1</t>
        </is>
      </c>
      <c r="F27" s="2">
        <f>VLOOKUP(B27,'Category Reference'!$A$2:$C$7,2,FALSE)</f>
        <v/>
      </c>
      <c r="G27" s="2">
        <f>VLOOKUP(B27,'Category Reference'!$A$2:$C$7,3,FALSE)</f>
        <v/>
      </c>
    </row>
    <row r="28">
      <c r="A28" s="2" t="inlineStr">
        <is>
          <t>Pune</t>
        </is>
      </c>
      <c r="B28" s="2" t="inlineStr">
        <is>
          <t>Salon for Women</t>
        </is>
      </c>
      <c r="C28" s="2" t="inlineStr">
        <is>
          <t>24</t>
        </is>
      </c>
      <c r="D28" s="2" t="inlineStr">
        <is>
          <t>62672</t>
        </is>
      </c>
      <c r="E28" s="2" t="inlineStr">
        <is>
          <t>1</t>
        </is>
      </c>
      <c r="F28" s="2">
        <f>VLOOKUP(B28,'Category Reference'!$A$2:$C$7,2,FALSE)</f>
        <v/>
      </c>
      <c r="G28" s="2">
        <f>VLOOKUP(B28,'Category Reference'!$A$2:$C$7,3,FALSE)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1" t="inlineStr">
        <is>
          <t>category</t>
        </is>
      </c>
      <c r="B1" s="1" t="inlineStr">
        <is>
          <t>min_price_inr</t>
        </is>
      </c>
      <c r="C1" s="1" t="inlineStr">
        <is>
          <t>max_price_inr</t>
        </is>
      </c>
    </row>
    <row r="2">
      <c r="A2" s="2" t="inlineStr">
        <is>
          <t>AC Repair &amp; Service</t>
        </is>
      </c>
      <c r="B2" s="2" t="n">
        <v>499</v>
      </c>
      <c r="C2" s="2" t="n">
        <v>2499</v>
      </c>
    </row>
    <row r="3">
      <c r="A3" s="2" t="inlineStr">
        <is>
          <t>Salon for Women</t>
        </is>
      </c>
      <c r="B3" s="2" t="n">
        <v>699</v>
      </c>
      <c r="C3" s="2" t="n">
        <v>3499</v>
      </c>
    </row>
    <row r="4">
      <c r="A4" s="2" t="inlineStr">
        <is>
          <t>Salon for Men</t>
        </is>
      </c>
      <c r="B4" s="2" t="n">
        <v>349</v>
      </c>
      <c r="C4" s="2" t="n">
        <v>1499</v>
      </c>
    </row>
    <row r="5">
      <c r="A5" s="2" t="inlineStr">
        <is>
          <t>Deep Home Cleaning</t>
        </is>
      </c>
      <c r="B5" s="2" t="n">
        <v>999</v>
      </c>
      <c r="C5" s="2" t="n">
        <v>4999</v>
      </c>
    </row>
    <row r="6">
      <c r="A6" s="2" t="inlineStr">
        <is>
          <t>Plumbing</t>
        </is>
      </c>
      <c r="B6" s="2" t="n">
        <v>199</v>
      </c>
      <c r="C6" s="2" t="n">
        <v>1499</v>
      </c>
    </row>
    <row r="7">
      <c r="A7" s="2" t="inlineStr">
        <is>
          <t>Electrical Repair</t>
        </is>
      </c>
      <c r="B7" s="2" t="n">
        <v>199</v>
      </c>
      <c r="C7" s="2" t="n">
        <v>1999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city</t>
        </is>
      </c>
      <c r="B1" s="1" t="inlineStr">
        <is>
          <t>AC Repair &amp; Service</t>
        </is>
      </c>
      <c r="C1" s="1" t="inlineStr">
        <is>
          <t>Salon for Women</t>
        </is>
      </c>
      <c r="D1" s="1" t="inlineStr">
        <is>
          <t>Salon for Men</t>
        </is>
      </c>
      <c r="E1" s="1" t="inlineStr">
        <is>
          <t>Deep Home Cleaning</t>
        </is>
      </c>
      <c r="F1" s="1" t="inlineStr">
        <is>
          <t>Plumbing</t>
        </is>
      </c>
      <c r="G1" s="1" t="inlineStr">
        <is>
          <t>Electrical Repair</t>
        </is>
      </c>
    </row>
    <row r="2">
      <c r="A2" s="2" t="inlineStr">
        <is>
          <t>Bengaluru</t>
        </is>
      </c>
      <c r="B2" s="2">
        <f>SUMIFS('City-Category Data'!$D:$D,'City-Category Data'!$A:$A,$A2,'City-Category Data'!$B:$B,B$1)</f>
        <v/>
      </c>
      <c r="C2" s="2">
        <f>SUMIFS('City-Category Data'!$D:$D,'City-Category Data'!$A:$A,$A2,'City-Category Data'!$B:$B,C$1)</f>
        <v/>
      </c>
      <c r="D2" s="2">
        <f>SUMIFS('City-Category Data'!$D:$D,'City-Category Data'!$A:$A,$A2,'City-Category Data'!$B:$B,D$1)</f>
        <v/>
      </c>
      <c r="E2" s="2">
        <f>SUMIFS('City-Category Data'!$D:$D,'City-Category Data'!$A:$A,$A2,'City-Category Data'!$B:$B,E$1)</f>
        <v/>
      </c>
      <c r="F2" s="2">
        <f>SUMIFS('City-Category Data'!$D:$D,'City-Category Data'!$A:$A,$A2,'City-Category Data'!$B:$B,F$1)</f>
        <v/>
      </c>
      <c r="G2" s="2">
        <f>SUMIFS('City-Category Data'!$D:$D,'City-Category Data'!$A:$A,$A2,'City-Category Data'!$B:$B,G$1)</f>
        <v/>
      </c>
    </row>
    <row r="3">
      <c r="A3" s="2" t="inlineStr">
        <is>
          <t>Mumbai</t>
        </is>
      </c>
      <c r="B3" s="2">
        <f>SUMIFS('City-Category Data'!$D:$D,'City-Category Data'!$A:$A,$A3,'City-Category Data'!$B:$B,B$1)</f>
        <v/>
      </c>
      <c r="C3" s="2">
        <f>SUMIFS('City-Category Data'!$D:$D,'City-Category Data'!$A:$A,$A3,'City-Category Data'!$B:$B,C$1)</f>
        <v/>
      </c>
      <c r="D3" s="2">
        <f>SUMIFS('City-Category Data'!$D:$D,'City-Category Data'!$A:$A,$A3,'City-Category Data'!$B:$B,D$1)</f>
        <v/>
      </c>
      <c r="E3" s="2">
        <f>SUMIFS('City-Category Data'!$D:$D,'City-Category Data'!$A:$A,$A3,'City-Category Data'!$B:$B,E$1)</f>
        <v/>
      </c>
      <c r="F3" s="2">
        <f>SUMIFS('City-Category Data'!$D:$D,'City-Category Data'!$A:$A,$A3,'City-Category Data'!$B:$B,F$1)</f>
        <v/>
      </c>
      <c r="G3" s="2">
        <f>SUMIFS('City-Category Data'!$D:$D,'City-Category Data'!$A:$A,$A3,'City-Category Data'!$B:$B,G$1)</f>
        <v/>
      </c>
    </row>
    <row r="4">
      <c r="A4" s="2" t="inlineStr">
        <is>
          <t>Delhi NCR</t>
        </is>
      </c>
      <c r="B4" s="2">
        <f>SUMIFS('City-Category Data'!$D:$D,'City-Category Data'!$A:$A,$A4,'City-Category Data'!$B:$B,B$1)</f>
        <v/>
      </c>
      <c r="C4" s="2">
        <f>SUMIFS('City-Category Data'!$D:$D,'City-Category Data'!$A:$A,$A4,'City-Category Data'!$B:$B,C$1)</f>
        <v/>
      </c>
      <c r="D4" s="2">
        <f>SUMIFS('City-Category Data'!$D:$D,'City-Category Data'!$A:$A,$A4,'City-Category Data'!$B:$B,D$1)</f>
        <v/>
      </c>
      <c r="E4" s="2">
        <f>SUMIFS('City-Category Data'!$D:$D,'City-Category Data'!$A:$A,$A4,'City-Category Data'!$B:$B,E$1)</f>
        <v/>
      </c>
      <c r="F4" s="2">
        <f>SUMIFS('City-Category Data'!$D:$D,'City-Category Data'!$A:$A,$A4,'City-Category Data'!$B:$B,F$1)</f>
        <v/>
      </c>
      <c r="G4" s="2">
        <f>SUMIFS('City-Category Data'!$D:$D,'City-Category Data'!$A:$A,$A4,'City-Category Data'!$B:$B,G$1)</f>
        <v/>
      </c>
    </row>
    <row r="5">
      <c r="A5" s="2" t="inlineStr">
        <is>
          <t>Pune</t>
        </is>
      </c>
      <c r="B5" s="2">
        <f>SUMIFS('City-Category Data'!$D:$D,'City-Category Data'!$A:$A,$A5,'City-Category Data'!$B:$B,B$1)</f>
        <v/>
      </c>
      <c r="C5" s="2">
        <f>SUMIFS('City-Category Data'!$D:$D,'City-Category Data'!$A:$A,$A5,'City-Category Data'!$B:$B,C$1)</f>
        <v/>
      </c>
      <c r="D5" s="2">
        <f>SUMIFS('City-Category Data'!$D:$D,'City-Category Data'!$A:$A,$A5,'City-Category Data'!$B:$B,D$1)</f>
        <v/>
      </c>
      <c r="E5" s="2">
        <f>SUMIFS('City-Category Data'!$D:$D,'City-Category Data'!$A:$A,$A5,'City-Category Data'!$B:$B,E$1)</f>
        <v/>
      </c>
      <c r="F5" s="2">
        <f>SUMIFS('City-Category Data'!$D:$D,'City-Category Data'!$A:$A,$A5,'City-Category Data'!$B:$B,F$1)</f>
        <v/>
      </c>
      <c r="G5" s="2">
        <f>SUMIFS('City-Category Data'!$D:$D,'City-Category Data'!$A:$A,$A5,'City-Category Data'!$B:$B,G$1)</f>
        <v/>
      </c>
    </row>
    <row r="6">
      <c r="A6" s="2" t="inlineStr">
        <is>
          <t>Hyderabad</t>
        </is>
      </c>
      <c r="B6" s="2">
        <f>SUMIFS('City-Category Data'!$D:$D,'City-Category Data'!$A:$A,$A6,'City-Category Data'!$B:$B,B$1)</f>
        <v/>
      </c>
      <c r="C6" s="2">
        <f>SUMIFS('City-Category Data'!$D:$D,'City-Category Data'!$A:$A,$A6,'City-Category Data'!$B:$B,C$1)</f>
        <v/>
      </c>
      <c r="D6" s="2">
        <f>SUMIFS('City-Category Data'!$D:$D,'City-Category Data'!$A:$A,$A6,'City-Category Data'!$B:$B,D$1)</f>
        <v/>
      </c>
      <c r="E6" s="2">
        <f>SUMIFS('City-Category Data'!$D:$D,'City-Category Data'!$A:$A,$A6,'City-Category Data'!$B:$B,E$1)</f>
        <v/>
      </c>
      <c r="F6" s="2">
        <f>SUMIFS('City-Category Data'!$D:$D,'City-Category Data'!$A:$A,$A6,'City-Category Data'!$B:$B,F$1)</f>
        <v/>
      </c>
      <c r="G6" s="2">
        <f>SUMIFS('City-Category Data'!$D:$D,'City-Category Data'!$A:$A,$A6,'City-Category Data'!$B:$B,G$1)</f>
        <v/>
      </c>
    </row>
    <row r="7">
      <c r="A7" s="2" t="inlineStr">
        <is>
          <t>Chennai</t>
        </is>
      </c>
      <c r="B7" s="2">
        <f>SUMIFS('City-Category Data'!$D:$D,'City-Category Data'!$A:$A,$A7,'City-Category Data'!$B:$B,B$1)</f>
        <v/>
      </c>
      <c r="C7" s="2">
        <f>SUMIFS('City-Category Data'!$D:$D,'City-Category Data'!$A:$A,$A7,'City-Category Data'!$B:$B,C$1)</f>
        <v/>
      </c>
      <c r="D7" s="2">
        <f>SUMIFS('City-Category Data'!$D:$D,'City-Category Data'!$A:$A,$A7,'City-Category Data'!$B:$B,D$1)</f>
        <v/>
      </c>
      <c r="E7" s="2">
        <f>SUMIFS('City-Category Data'!$D:$D,'City-Category Data'!$A:$A,$A7,'City-Category Data'!$B:$B,E$1)</f>
        <v/>
      </c>
      <c r="F7" s="2">
        <f>SUMIFS('City-Category Data'!$D:$D,'City-Category Data'!$A:$A,$A7,'City-Category Data'!$B:$B,F$1)</f>
        <v/>
      </c>
      <c r="G7" s="2">
        <f>SUMIFS('City-Category Data'!$D:$D,'City-Category Data'!$A:$A,$A7,'City-Category Data'!$B:$B,G$1)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city</t>
        </is>
      </c>
      <c r="B1" s="1" t="inlineStr">
        <is>
          <t>total_revenue_inr</t>
        </is>
      </c>
      <c r="C1" s="1" t="inlineStr">
        <is>
          <t>total_sla_breaches</t>
        </is>
      </c>
      <c r="D1" s="1" t="inlineStr">
        <is>
          <t>city_category_combinations</t>
        </is>
      </c>
      <c r="E1" s="1" t="inlineStr">
        <is>
          <t>Part A SQL total</t>
        </is>
      </c>
      <c r="F1" s="1" t="inlineStr">
        <is>
          <t>Matches Part A SQL total?</t>
        </is>
      </c>
    </row>
    <row r="2">
      <c r="A2" s="2" t="inlineStr">
        <is>
          <t>Pune</t>
        </is>
      </c>
      <c r="B2" s="2">
        <f>SUMIFS('City-Category Data'!$D:$D,'City-Category Data'!$A:$A,A2)</f>
        <v/>
      </c>
      <c r="C2" s="2">
        <f>SUMIFS('City-Category Data'!$E:$E,'City-Category Data'!$A:$A,A2)</f>
        <v/>
      </c>
      <c r="D2" s="2">
        <f>COUNTIFS('City-Category Data'!$A:$A,A2)</f>
        <v/>
      </c>
      <c r="E2" s="2" t="n">
        <v>228727</v>
      </c>
      <c r="F2" s="2">
        <f>IF(B2=E2,"Yes","No")</f>
        <v/>
      </c>
    </row>
    <row r="3">
      <c r="A3" s="2" t="inlineStr">
        <is>
          <t>Bengaluru</t>
        </is>
      </c>
      <c r="B3" s="2">
        <f>SUMIFS('City-Category Data'!$D:$D,'City-Category Data'!$A:$A,A3)</f>
        <v/>
      </c>
      <c r="C3" s="2">
        <f>SUMIFS('City-Category Data'!$E:$E,'City-Category Data'!$A:$A,A3)</f>
        <v/>
      </c>
      <c r="D3" s="2">
        <f>COUNTIFS('City-Category Data'!$A:$A,A3)</f>
        <v/>
      </c>
      <c r="E3" s="2" t="n">
        <v>179835</v>
      </c>
      <c r="F3" s="2">
        <f>IF(B3=E3,"Yes","No")</f>
        <v/>
      </c>
    </row>
    <row r="4">
      <c r="A4" s="2" t="inlineStr">
        <is>
          <t>Chennai</t>
        </is>
      </c>
      <c r="B4" s="2">
        <f>SUMIFS('City-Category Data'!$D:$D,'City-Category Data'!$A:$A,A4)</f>
        <v/>
      </c>
      <c r="C4" s="2">
        <f>SUMIFS('City-Category Data'!$E:$E,'City-Category Data'!$A:$A,A4)</f>
        <v/>
      </c>
      <c r="D4" s="2">
        <f>COUNTIFS('City-Category Data'!$A:$A,A4)</f>
        <v/>
      </c>
      <c r="E4" s="2" t="n">
        <v>175572</v>
      </c>
      <c r="F4" s="2">
        <f>IF(B4=E4,"Yes","No")</f>
        <v/>
      </c>
    </row>
    <row r="5">
      <c r="A5" s="2" t="inlineStr">
        <is>
          <t>Hyderabad</t>
        </is>
      </c>
      <c r="B5" s="2">
        <f>SUMIFS('City-Category Data'!$D:$D,'City-Category Data'!$A:$A,A5)</f>
        <v/>
      </c>
      <c r="C5" s="2">
        <f>SUMIFS('City-Category Data'!$E:$E,'City-Category Data'!$A:$A,A5)</f>
        <v/>
      </c>
      <c r="D5" s="2">
        <f>COUNTIFS('City-Category Data'!$A:$A,A5)</f>
        <v/>
      </c>
      <c r="E5" s="2" t="n">
        <v>171638</v>
      </c>
      <c r="F5" s="2">
        <f>IF(B5=E5,"Yes","No")</f>
        <v/>
      </c>
    </row>
    <row r="6">
      <c r="A6" s="2" t="inlineStr">
        <is>
          <t>Mumbai</t>
        </is>
      </c>
      <c r="B6" s="2">
        <f>SUMIFS('City-Category Data'!$D:$D,'City-Category Data'!$A:$A,A6)</f>
        <v/>
      </c>
      <c r="C6" s="2">
        <f>SUMIFS('City-Category Data'!$E:$E,'City-Category Data'!$A:$A,A6)</f>
        <v/>
      </c>
      <c r="D6" s="2">
        <f>COUNTIFS('City-Category Data'!$A:$A,A6)</f>
        <v/>
      </c>
      <c r="E6" s="2" t="n">
        <v>151430</v>
      </c>
      <c r="F6" s="2">
        <f>IF(B6=E6,"Yes","No")</f>
        <v/>
      </c>
    </row>
    <row r="7">
      <c r="A7" s="2" t="inlineStr">
        <is>
          <t>Delhi NCR</t>
        </is>
      </c>
      <c r="B7" s="2">
        <f>SUMIFS('City-Category Data'!$D:$D,'City-Category Data'!$A:$A,A7)</f>
        <v/>
      </c>
      <c r="C7" s="2">
        <f>SUMIFS('City-Category Data'!$E:$E,'City-Category Data'!$A:$A,A7)</f>
        <v/>
      </c>
      <c r="D7" s="2">
        <f>COUNTIFS('City-Category Data'!$A:$A,A7)</f>
        <v/>
      </c>
      <c r="E7" s="2" t="n">
        <v>140771</v>
      </c>
      <c r="F7" s="2">
        <f>IF(B7=E7,"Yes","No")</f>
        <v/>
      </c>
    </row>
  </sheetData>
  <conditionalFormatting sqref="B2:B7">
    <cfRule type="cellIs" priority="1" operator="equal" dxfId="0">
      <formula>MAX($B$2:$B$7)</formula>
    </cfRule>
    <cfRule type="cellIs" priority="2" operator="equal" dxfId="1">
      <formula>MIN($B$2:$B$7)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2026-10-05T11:16:36Z</dcterms:created>
  <dcterms:modified xsi:type="dcterms:W3CDTF">2026-10-05T11:16:36Z</dcterms:modified>
</cp:coreProperties>
</file>